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unet-my.sharepoint.com/personal/wswl3_lunet_lboro_ac_uk/Documents/Year 4/Group Project/Programming/"/>
    </mc:Choice>
  </mc:AlternateContent>
  <xr:revisionPtr revIDLastSave="258" documentId="11_F25DC773A252ABDACC104835C91E41EE5ADE58E7" xr6:coauthVersionLast="47" xr6:coauthVersionMax="47" xr10:uidLastSave="{7C9D86B8-CB91-410E-908D-32FB7951DFB9}"/>
  <bookViews>
    <workbookView xWindow="-108" yWindow="-108" windowWidth="23256" windowHeight="12456" activeTab="1" xr2:uid="{00000000-000D-0000-FFFF-FFFF00000000}"/>
  </bookViews>
  <sheets>
    <sheet name="Logs" sheetId="2" r:id="rId1"/>
    <sheet name="Sheet1" sheetId="1" r:id="rId2"/>
  </sheets>
  <definedNames>
    <definedName name="ExternalData_1" localSheetId="0" hidden="1">Logs!$A$1:$C$2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 a="1"/>
  <c r="B7" i="1" s="1"/>
  <c r="H7" i="1" a="1"/>
  <c r="H7" i="1" s="1"/>
  <c r="G7" i="1" a="1"/>
  <c r="G7" i="1" s="1"/>
  <c r="R7" i="1" a="1"/>
  <c r="R7" i="1" s="1"/>
  <c r="A7" i="1" a="1"/>
  <c r="A7" i="1" s="1"/>
  <c r="U6" i="1"/>
  <c r="S7" i="1" a="1"/>
  <c r="S7" i="1" s="1"/>
  <c r="N7" i="1" a="1"/>
  <c r="N7" i="1" s="1"/>
  <c r="P6" i="1"/>
  <c r="I7" i="1" l="1" a="1"/>
  <c r="I7" i="1" s="1"/>
  <c r="K6" i="1" s="1"/>
  <c r="C7" i="1" a="1"/>
  <c r="C7" i="1" s="1"/>
  <c r="E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EF3381-4B1F-48BC-BDFC-3C37C287C382}" keepAlive="1" name="Query - Logs" description="Connection to the 'Logs' query in the workbook." type="5" refreshedVersion="8" background="1" saveData="1">
    <dbPr connection="Provider=Microsoft.Mashup.OleDb.1;Data Source=$Workbook$;Location=Logs;Extended Properties=&quot;&quot;" command="SELECT * FROM [Logs]"/>
  </connection>
  <connection id="2" xr16:uid="{F545DA78-77C3-4CA8-8968-B49C43A36E7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EF1D86C5-80F9-4929-BCDD-6E827AAEB12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BA293A21-9CF0-47F8-8207-7F2BA90B7B5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ECBEAD73-D0B2-4C52-A3FF-F1F5C9153185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<sst xmlns="http://schemas.openxmlformats.org/spreadsheetml/2006/main" count="24" uniqueCount="14">
  <si>
    <t>Source.Name</t>
  </si>
  <si>
    <t>Time</t>
  </si>
  <si>
    <t>Event</t>
  </si>
  <si>
    <t>Resource and Staff Actions Analysis</t>
  </si>
  <si>
    <t xml:space="preserve">Water consumption: </t>
  </si>
  <si>
    <t>Plant</t>
  </si>
  <si>
    <t>Total:</t>
  </si>
  <si>
    <t>Water Usage</t>
  </si>
  <si>
    <t xml:space="preserve">Fertilliser consumption: </t>
  </si>
  <si>
    <t xml:space="preserve">User Stop Requests: </t>
  </si>
  <si>
    <t>mg</t>
  </si>
  <si>
    <t>ml</t>
  </si>
  <si>
    <t xml:space="preserve">User Rejects: </t>
  </si>
  <si>
    <t>2026-02-25_12-39-10.csv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</si>
</sst>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0" fillId="3" borderId="1" xfId="0" applyFill="1" applyBorder="1"/>
    <xf numFmtId="0" fontId="1" fillId="2" borderId="1" xfId="0" applyFont="1" applyFill="1" applyBorder="1"/>
    <xf numFmtId="0" fontId="0" fillId="2" borderId="0" xfId="0" applyFill="1" applyAlignment="1">
      <alignment horizontal="left"/>
    </xf>
    <xf numFmtId="0" fontId="0" fillId="3" borderId="2" xfId="0" applyFill="1" applyBorder="1"/>
    <xf numFmtId="0" fontId="2" fillId="2" borderId="0" xfId="0" applyFont="1" applyFill="1" applyAlignment="1">
      <alignment horizontal="left"/>
    </xf>
    <xf numFmtId="0" fontId="5" fillId="2" borderId="0" xfId="0" applyFont="1" applyFill="1"/>
    <xf numFmtId="0" fontId="0" fillId="3" borderId="1" xfId="0" applyFill="1" applyBorder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64" formatCode="[$-F400]h:mm:ss\ AM/P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connections" Target="connections.xml"/><Relationship Id="rId9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548792-B9FE-4BDC-A6A9-7FC8A72438ED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Time" tableColumnId="2"/>
      <queryTableField id="3" name="Event" tableColumnId="3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3A182-0FC8-450B-BB29-AFBAA6044BC8}" name="Logs" displayName="Logs" ref="A1:C2" tableType="queryTable" totalsRowShown="0">
  <autoFilter ref="A1:C2" xr:uid="{31C3A182-0FC8-450B-BB29-AFBAA6044BC8}"/>
  <tableColumns count="3">
    <tableColumn id="1" xr3:uid="{B68ADB2D-E442-4BE4-B0A8-DDF60F1F365E}" uniqueName="1" name="Source.Name" queryTableFieldId="1" dataDxfId="2"/>
    <tableColumn id="2" xr3:uid="{8FD4281C-3122-4E7D-A364-2D552D90FB85}" uniqueName="2" name="Time" queryTableFieldId="2" dataDxfId="1"/>
    <tableColumn id="3" xr3:uid="{3495D96E-7E55-498C-BA9E-8B9B33E71BBD}" uniqueName="3" name="Event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7DE85-98B7-40A5-8EA1-E437DABF6CF0}">
  <dimension ref="A1:C2"/>
  <sheetViews>
    <sheetView workbookViewId="0">
      <selection activeCell="C2" sqref="C2"/>
    </sheetView>
  </sheetViews>
  <sheetFormatPr defaultRowHeight="14.4" x14ac:dyDescent="0.3"/>
  <cols>
    <col min="1" max="1" width="22.109375" bestFit="1" customWidth="1"/>
    <col min="2" max="2" width="7.33203125" bestFit="1" customWidth="1"/>
    <col min="3" max="3" width="8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2" t="s">
        <v>13</v>
      </c>
      <c r="B2" s="1"/>
      <c r="C2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200"/>
  <sheetViews>
    <sheetView tabSelected="1" zoomScale="66" workbookViewId="0">
      <selection activeCell="K11" sqref="K11"/>
    </sheetView>
  </sheetViews>
  <sheetFormatPr defaultRowHeight="14.4" x14ac:dyDescent="0.3"/>
  <cols>
    <col min="1" max="2" width="23" style="2" customWidth="1"/>
    <col min="3" max="3" width="22.88671875" style="2" customWidth="1"/>
    <col min="4" max="4" width="11.109375" style="2" customWidth="1"/>
    <col min="5" max="6" width="8.88671875" style="2"/>
    <col min="7" max="9" width="23" style="2" customWidth="1"/>
    <col min="10" max="10" width="11.44140625" style="2" customWidth="1"/>
    <col min="11" max="13" width="8.88671875" style="2"/>
    <col min="14" max="14" width="22.88671875" style="2" customWidth="1"/>
    <col min="15" max="15" width="11.21875" style="2" customWidth="1"/>
    <col min="16" max="17" width="8.88671875" style="2"/>
    <col min="18" max="19" width="23.109375" style="2" customWidth="1"/>
    <col min="20" max="20" width="10.6640625" style="2" customWidth="1"/>
    <col min="21" max="16384" width="8.88671875" style="2"/>
  </cols>
  <sheetData>
    <row r="2" spans="1:21" ht="36.6" x14ac:dyDescent="0.7">
      <c r="A2" s="3" t="s">
        <v>3</v>
      </c>
      <c r="B2" s="3"/>
    </row>
    <row r="5" spans="1:21" ht="28.8" x14ac:dyDescent="0.55000000000000004">
      <c r="A5" s="10" t="s">
        <v>4</v>
      </c>
      <c r="B5" s="4"/>
      <c r="G5" s="10" t="s">
        <v>8</v>
      </c>
      <c r="H5" s="4"/>
      <c r="N5" s="10" t="s">
        <v>9</v>
      </c>
      <c r="R5" s="10" t="s">
        <v>12</v>
      </c>
      <c r="S5" s="4"/>
    </row>
    <row r="6" spans="1:21" ht="28.8" x14ac:dyDescent="0.55000000000000004">
      <c r="A6" s="6" t="s">
        <v>1</v>
      </c>
      <c r="B6" s="6" t="s">
        <v>5</v>
      </c>
      <c r="C6" s="6" t="s">
        <v>7</v>
      </c>
      <c r="D6" s="10" t="s">
        <v>6</v>
      </c>
      <c r="E6" s="9" t="e" vm="1">
        <f>SUM(C6:C200)</f>
        <v>#VALUE!</v>
      </c>
      <c r="F6" s="9" t="s">
        <v>11</v>
      </c>
      <c r="G6" s="6" t="s">
        <v>5</v>
      </c>
      <c r="H6" s="6" t="s">
        <v>1</v>
      </c>
      <c r="I6" s="6" t="s">
        <v>7</v>
      </c>
      <c r="J6" s="10" t="s">
        <v>6</v>
      </c>
      <c r="K6" s="9" t="e" vm="1">
        <f>SUM(I6:I200)</f>
        <v>#VALUE!</v>
      </c>
      <c r="L6" s="9" t="s">
        <v>10</v>
      </c>
      <c r="M6" s="7"/>
      <c r="N6" s="6" t="s">
        <v>1</v>
      </c>
      <c r="O6" s="10" t="s">
        <v>6</v>
      </c>
      <c r="P6" s="9">
        <f>COUNTIF(Logs!C:C,"User stopped operation")</f>
        <v>0</v>
      </c>
      <c r="R6" s="6" t="s">
        <v>1</v>
      </c>
      <c r="S6" s="6" t="s">
        <v>5</v>
      </c>
      <c r="T6" s="10" t="s">
        <v>6</v>
      </c>
      <c r="U6" s="9">
        <f>COUNTIF(Logs!C:C,"*reject*")</f>
        <v>0</v>
      </c>
    </row>
    <row r="7" spans="1:21" x14ac:dyDescent="0.3">
      <c r="A7" s="5" t="e" cm="1" vm="2">
        <f t="array" ref="A7">TEXT(_xlfn._xlws.FILTER(Logs!B:B, ISNUMBER(SEARCH("water", Logs!C:C))),"hh:mm:ss")</f>
        <v>#VALUE!</v>
      </c>
      <c r="B7" s="5" t="e" cm="1" vm="2">
        <f t="array" ref="B7">_xlfn.LET(
  _xlpm.x, _xlfn._xlws.FILTER(Logs!C:C, ISNUMBER(SEARCH("water", Logs!C:C))),
  VALUE(RIGHT(_xlpm.x, LEN(_xlpm.x) - FIND("Plant ", _xlpm.x) - 5))
)</f>
        <v>#VALUE!</v>
      </c>
      <c r="C7" s="5" t="e" cm="1" vm="1">
        <f t="array" ref="C7">IF(_xlfn.ANCHORARRAY(B7)&lt;&gt;"",20)</f>
        <v>#VALUE!</v>
      </c>
      <c r="G7" s="8" t="e" cm="1" vm="2">
        <f t="array" ref="G7">TEXT(_xlfn._xlws.FILTER(Logs!B:B, ISNUMBER(SEARCH("water", Logs!C:C))),"hh:mm:ss")</f>
        <v>#VALUE!</v>
      </c>
      <c r="H7" s="5" t="e" cm="1" vm="2">
        <f t="array" ref="H7">_xlfn.LET(
  _xlpm.x, _xlfn._xlws.FILTER(Logs!C:C, ISNUMBER(SEARCH("water", Logs!C:C))),
  VALUE(RIGHT(_xlpm.x, LEN(_xlpm.x) - FIND("Plant ", _xlpm.x) - 5))
)</f>
        <v>#VALUE!</v>
      </c>
      <c r="I7" s="5" t="e" cm="1" vm="1">
        <f t="array" ref="I7">IF(_xlfn.ANCHORARRAY(B7)&lt;&gt;"",20)</f>
        <v>#VALUE!</v>
      </c>
      <c r="N7" s="5" t="e" cm="1" vm="2">
        <f t="array" ref="N7">TEXT(_xlfn._xlws.FILTER(Logs!B:B, Logs!C:C="User stopped operation"),"hh:mm:ss")</f>
        <v>#VALUE!</v>
      </c>
      <c r="R7" s="8" t="e" cm="1" vm="2">
        <f t="array" ref="R7">TEXT(_xlfn._xlws.FILTER(Logs!B:B, ISNUMBER(SEARCH("reject", Logs!C:C))),"hh:mm:ss")</f>
        <v>#VALUE!</v>
      </c>
      <c r="S7" s="11" t="e" cm="1" vm="2">
        <f t="array" ref="S7">_xlfn.LET(
  _xlpm.x, _xlfn._xlws.FILTER(Logs!C:C, ISNUMBER(SEARCH("reject", Logs!C:C))),
  VALUE(RIGHT(_xlpm.x, LEN(_xlpm.x) - FIND("Plant ", _xlpm.x) - 5))
)</f>
        <v>#VALUE!</v>
      </c>
    </row>
    <row r="8" spans="1:21" x14ac:dyDescent="0.3">
      <c r="A8" s="5"/>
      <c r="B8" s="5"/>
      <c r="C8" s="5"/>
      <c r="G8" s="8"/>
      <c r="H8" s="5"/>
      <c r="I8" s="5"/>
      <c r="N8" s="5"/>
      <c r="R8" s="8"/>
      <c r="S8" s="5"/>
    </row>
    <row r="9" spans="1:21" x14ac:dyDescent="0.3">
      <c r="A9" s="5"/>
      <c r="B9" s="5"/>
      <c r="C9" s="5"/>
      <c r="G9" s="8"/>
      <c r="H9" s="5"/>
      <c r="I9" s="5"/>
      <c r="N9" s="5"/>
      <c r="R9" s="8"/>
      <c r="S9" s="5"/>
    </row>
    <row r="10" spans="1:21" x14ac:dyDescent="0.3">
      <c r="A10" s="5"/>
      <c r="B10" s="5"/>
      <c r="C10" s="5"/>
      <c r="G10" s="8"/>
      <c r="H10" s="5"/>
      <c r="I10" s="5"/>
      <c r="N10" s="5"/>
      <c r="R10" s="8"/>
      <c r="S10" s="5"/>
    </row>
    <row r="11" spans="1:21" x14ac:dyDescent="0.3">
      <c r="A11" s="5"/>
      <c r="B11" s="5"/>
      <c r="C11" s="5"/>
      <c r="G11" s="8"/>
      <c r="H11" s="5"/>
      <c r="I11" s="5"/>
      <c r="N11" s="5"/>
      <c r="R11" s="8"/>
      <c r="S11" s="5"/>
    </row>
    <row r="12" spans="1:21" x14ac:dyDescent="0.3">
      <c r="A12" s="5"/>
      <c r="B12" s="5"/>
      <c r="C12" s="5"/>
      <c r="G12" s="8"/>
      <c r="H12" s="5"/>
      <c r="I12" s="5"/>
      <c r="N12" s="5"/>
      <c r="R12" s="8"/>
      <c r="S12" s="5"/>
    </row>
    <row r="13" spans="1:21" x14ac:dyDescent="0.3">
      <c r="A13" s="5"/>
      <c r="B13" s="5"/>
      <c r="C13" s="5"/>
      <c r="G13" s="8"/>
      <c r="H13" s="5"/>
      <c r="I13" s="5"/>
      <c r="N13" s="5"/>
      <c r="R13" s="8"/>
      <c r="S13" s="5"/>
    </row>
    <row r="14" spans="1:21" x14ac:dyDescent="0.3">
      <c r="A14" s="5"/>
      <c r="B14" s="5"/>
      <c r="C14" s="5"/>
      <c r="G14" s="8"/>
      <c r="H14" s="5"/>
      <c r="I14" s="5"/>
      <c r="N14" s="5"/>
      <c r="R14" s="8"/>
      <c r="S14" s="5"/>
    </row>
    <row r="15" spans="1:21" x14ac:dyDescent="0.3">
      <c r="A15" s="5"/>
      <c r="B15" s="5"/>
      <c r="C15" s="5"/>
      <c r="G15" s="8"/>
      <c r="H15" s="5"/>
      <c r="I15" s="5"/>
      <c r="N15" s="5"/>
      <c r="R15" s="8"/>
      <c r="S15" s="5"/>
    </row>
    <row r="16" spans="1:21" x14ac:dyDescent="0.3">
      <c r="A16" s="5"/>
      <c r="B16" s="5"/>
      <c r="C16" s="5"/>
      <c r="G16" s="8"/>
      <c r="H16" s="5"/>
      <c r="I16" s="5"/>
      <c r="N16" s="5"/>
      <c r="R16" s="8"/>
      <c r="S16" s="5"/>
    </row>
    <row r="17" spans="1:19" x14ac:dyDescent="0.3">
      <c r="A17" s="5"/>
      <c r="B17" s="5"/>
      <c r="C17" s="5"/>
      <c r="G17" s="8"/>
      <c r="H17" s="5"/>
      <c r="I17" s="5"/>
      <c r="N17" s="5"/>
      <c r="R17" s="8"/>
      <c r="S17" s="5"/>
    </row>
    <row r="18" spans="1:19" x14ac:dyDescent="0.3">
      <c r="A18" s="5"/>
      <c r="B18" s="5"/>
      <c r="C18" s="5"/>
      <c r="E18" s="7"/>
      <c r="F18" s="7"/>
      <c r="G18" s="8"/>
      <c r="H18" s="5"/>
      <c r="I18" s="5"/>
      <c r="N18" s="5"/>
      <c r="R18" s="8"/>
      <c r="S18" s="5"/>
    </row>
    <row r="19" spans="1:19" x14ac:dyDescent="0.3">
      <c r="A19" s="5"/>
      <c r="B19" s="5"/>
      <c r="C19" s="5"/>
      <c r="G19" s="8"/>
      <c r="H19" s="5"/>
      <c r="I19" s="5"/>
      <c r="N19" s="5"/>
      <c r="R19" s="8"/>
      <c r="S19" s="5"/>
    </row>
    <row r="20" spans="1:19" x14ac:dyDescent="0.3">
      <c r="A20" s="5"/>
      <c r="B20" s="5"/>
      <c r="C20" s="5"/>
      <c r="G20" s="8"/>
      <c r="H20" s="5"/>
      <c r="I20" s="5"/>
      <c r="N20" s="5"/>
      <c r="R20" s="8"/>
      <c r="S20" s="5"/>
    </row>
    <row r="21" spans="1:19" x14ac:dyDescent="0.3">
      <c r="A21" s="5"/>
      <c r="B21" s="5"/>
      <c r="C21" s="5"/>
      <c r="G21" s="8"/>
      <c r="H21" s="5"/>
      <c r="I21" s="5"/>
      <c r="N21" s="5"/>
      <c r="R21" s="8"/>
      <c r="S21" s="5"/>
    </row>
    <row r="22" spans="1:19" x14ac:dyDescent="0.3">
      <c r="A22" s="5"/>
      <c r="B22" s="5"/>
      <c r="C22" s="5"/>
      <c r="G22" s="8"/>
      <c r="H22" s="5"/>
      <c r="I22" s="5"/>
      <c r="N22" s="5"/>
      <c r="R22" s="8"/>
      <c r="S22" s="5"/>
    </row>
    <row r="23" spans="1:19" x14ac:dyDescent="0.3">
      <c r="A23" s="5"/>
      <c r="B23" s="5"/>
      <c r="C23" s="5"/>
      <c r="G23" s="8"/>
      <c r="H23" s="5"/>
      <c r="I23" s="5"/>
      <c r="N23" s="5"/>
      <c r="R23" s="8"/>
      <c r="S23" s="5"/>
    </row>
    <row r="24" spans="1:19" x14ac:dyDescent="0.3">
      <c r="A24" s="5"/>
      <c r="B24" s="5"/>
      <c r="C24" s="5"/>
      <c r="G24" s="8"/>
      <c r="H24" s="5"/>
      <c r="I24" s="5"/>
      <c r="N24" s="5"/>
      <c r="R24" s="8"/>
      <c r="S24" s="5"/>
    </row>
    <row r="25" spans="1:19" x14ac:dyDescent="0.3">
      <c r="A25" s="5"/>
      <c r="B25" s="5"/>
      <c r="C25" s="5"/>
      <c r="G25" s="8"/>
      <c r="H25" s="5"/>
      <c r="I25" s="5"/>
      <c r="N25" s="5"/>
      <c r="R25" s="8"/>
      <c r="S25" s="5"/>
    </row>
    <row r="26" spans="1:19" x14ac:dyDescent="0.3">
      <c r="A26" s="5"/>
      <c r="B26" s="5"/>
      <c r="C26" s="5"/>
      <c r="G26" s="8"/>
      <c r="H26" s="5"/>
      <c r="I26" s="5"/>
      <c r="N26" s="5"/>
      <c r="R26" s="8"/>
      <c r="S26" s="5"/>
    </row>
    <row r="27" spans="1:19" x14ac:dyDescent="0.3">
      <c r="A27" s="5"/>
      <c r="B27" s="5"/>
      <c r="C27" s="5"/>
      <c r="G27" s="8"/>
      <c r="H27" s="5"/>
      <c r="I27" s="5"/>
      <c r="N27" s="5"/>
      <c r="R27" s="8"/>
      <c r="S27" s="5"/>
    </row>
    <row r="28" spans="1:19" x14ac:dyDescent="0.3">
      <c r="A28" s="5"/>
      <c r="B28" s="5"/>
      <c r="C28" s="5"/>
      <c r="G28" s="8"/>
      <c r="H28" s="5"/>
      <c r="I28" s="5"/>
      <c r="N28" s="5"/>
      <c r="R28" s="8"/>
      <c r="S28" s="5"/>
    </row>
    <row r="29" spans="1:19" x14ac:dyDescent="0.3">
      <c r="A29" s="5"/>
      <c r="B29" s="5"/>
      <c r="C29" s="5"/>
      <c r="G29" s="8"/>
      <c r="H29" s="5"/>
      <c r="I29" s="5"/>
      <c r="N29" s="5"/>
      <c r="R29" s="8"/>
      <c r="S29" s="5"/>
    </row>
    <row r="30" spans="1:19" x14ac:dyDescent="0.3">
      <c r="A30" s="5"/>
      <c r="B30" s="5"/>
      <c r="C30" s="5"/>
      <c r="G30" s="8"/>
      <c r="H30" s="5"/>
      <c r="I30" s="5"/>
      <c r="N30" s="5"/>
      <c r="R30" s="8"/>
      <c r="S30" s="5"/>
    </row>
    <row r="31" spans="1:19" x14ac:dyDescent="0.3">
      <c r="A31" s="5"/>
      <c r="B31" s="5"/>
      <c r="C31" s="5"/>
      <c r="G31" s="8"/>
      <c r="H31" s="5"/>
      <c r="I31" s="5"/>
      <c r="N31" s="5"/>
      <c r="R31" s="8"/>
      <c r="S31" s="5"/>
    </row>
    <row r="32" spans="1:19" x14ac:dyDescent="0.3">
      <c r="A32" s="5"/>
      <c r="B32" s="5"/>
      <c r="C32" s="5"/>
      <c r="G32" s="8"/>
      <c r="H32" s="5"/>
      <c r="I32" s="5"/>
      <c r="N32" s="5"/>
      <c r="R32" s="8"/>
      <c r="S32" s="5"/>
    </row>
    <row r="33" spans="1:19" x14ac:dyDescent="0.3">
      <c r="A33" s="5"/>
      <c r="B33" s="5"/>
      <c r="C33" s="5"/>
      <c r="G33" s="8"/>
      <c r="H33" s="5"/>
      <c r="I33" s="5"/>
      <c r="N33" s="5"/>
      <c r="R33" s="8"/>
      <c r="S33" s="5"/>
    </row>
    <row r="34" spans="1:19" x14ac:dyDescent="0.3">
      <c r="A34" s="5"/>
      <c r="B34" s="5"/>
      <c r="C34" s="5"/>
      <c r="G34" s="8"/>
      <c r="H34" s="5"/>
      <c r="I34" s="5"/>
      <c r="N34" s="5"/>
      <c r="R34" s="8"/>
      <c r="S34" s="5"/>
    </row>
    <row r="35" spans="1:19" x14ac:dyDescent="0.3">
      <c r="A35" s="5"/>
      <c r="B35" s="5"/>
      <c r="C35" s="5"/>
      <c r="G35" s="8"/>
      <c r="H35" s="5"/>
      <c r="I35" s="5"/>
      <c r="N35" s="5"/>
      <c r="R35" s="8"/>
      <c r="S35" s="5"/>
    </row>
    <row r="36" spans="1:19" x14ac:dyDescent="0.3">
      <c r="A36" s="5"/>
      <c r="B36" s="5"/>
      <c r="C36" s="5"/>
      <c r="G36" s="8"/>
      <c r="H36" s="5"/>
      <c r="I36" s="5"/>
      <c r="N36" s="5"/>
      <c r="R36" s="8"/>
      <c r="S36" s="5"/>
    </row>
    <row r="37" spans="1:19" x14ac:dyDescent="0.3">
      <c r="A37" s="5"/>
      <c r="B37" s="5"/>
      <c r="C37" s="5"/>
      <c r="G37" s="8"/>
      <c r="H37" s="5"/>
      <c r="I37" s="5"/>
      <c r="N37" s="5"/>
      <c r="R37" s="8"/>
      <c r="S37" s="5"/>
    </row>
    <row r="38" spans="1:19" x14ac:dyDescent="0.3">
      <c r="A38" s="5"/>
      <c r="B38" s="5"/>
      <c r="C38" s="5"/>
      <c r="G38" s="8"/>
      <c r="H38" s="5"/>
      <c r="I38" s="5"/>
      <c r="N38" s="5"/>
      <c r="R38" s="8"/>
      <c r="S38" s="5"/>
    </row>
    <row r="39" spans="1:19" x14ac:dyDescent="0.3">
      <c r="A39" s="5"/>
      <c r="B39" s="5"/>
      <c r="C39" s="5"/>
      <c r="G39" s="8"/>
      <c r="H39" s="5"/>
      <c r="I39" s="5"/>
      <c r="N39" s="5"/>
      <c r="R39" s="8"/>
      <c r="S39" s="5"/>
    </row>
    <row r="40" spans="1:19" x14ac:dyDescent="0.3">
      <c r="A40" s="5"/>
      <c r="B40" s="5"/>
      <c r="C40" s="5"/>
      <c r="G40" s="8"/>
      <c r="H40" s="5"/>
      <c r="I40" s="5"/>
      <c r="N40" s="5"/>
      <c r="R40" s="8"/>
      <c r="S40" s="5"/>
    </row>
    <row r="41" spans="1:19" x14ac:dyDescent="0.3">
      <c r="A41" s="5"/>
      <c r="B41" s="5"/>
      <c r="C41" s="5"/>
      <c r="G41" s="8"/>
      <c r="H41" s="5"/>
      <c r="I41" s="5"/>
      <c r="N41" s="5"/>
      <c r="R41" s="8"/>
      <c r="S41" s="5"/>
    </row>
    <row r="42" spans="1:19" x14ac:dyDescent="0.3">
      <c r="A42" s="5"/>
      <c r="B42" s="5"/>
      <c r="C42" s="5"/>
      <c r="G42" s="8"/>
      <c r="H42" s="5"/>
      <c r="I42" s="5"/>
      <c r="N42" s="5"/>
      <c r="R42" s="8"/>
      <c r="S42" s="5"/>
    </row>
    <row r="43" spans="1:19" x14ac:dyDescent="0.3">
      <c r="A43" s="5"/>
      <c r="B43" s="5"/>
      <c r="C43" s="5"/>
      <c r="G43" s="8"/>
      <c r="H43" s="5"/>
      <c r="I43" s="5"/>
      <c r="N43" s="5"/>
      <c r="R43" s="8"/>
      <c r="S43" s="5"/>
    </row>
    <row r="44" spans="1:19" x14ac:dyDescent="0.3">
      <c r="A44" s="5"/>
      <c r="B44" s="5"/>
      <c r="C44" s="5"/>
      <c r="G44" s="8"/>
      <c r="H44" s="5"/>
      <c r="I44" s="5"/>
      <c r="N44" s="5"/>
      <c r="R44" s="8"/>
      <c r="S44" s="5"/>
    </row>
    <row r="45" spans="1:19" x14ac:dyDescent="0.3">
      <c r="A45" s="5"/>
      <c r="B45" s="5"/>
      <c r="C45" s="5"/>
      <c r="G45" s="8"/>
      <c r="H45" s="5"/>
      <c r="I45" s="5"/>
      <c r="N45" s="5"/>
      <c r="R45" s="8"/>
      <c r="S45" s="5"/>
    </row>
    <row r="46" spans="1:19" x14ac:dyDescent="0.3">
      <c r="A46" s="5"/>
      <c r="B46" s="5"/>
      <c r="C46" s="5"/>
      <c r="G46" s="8"/>
      <c r="H46" s="5"/>
      <c r="I46" s="5"/>
      <c r="N46" s="5"/>
      <c r="R46" s="8"/>
      <c r="S46" s="5"/>
    </row>
    <row r="47" spans="1:19" x14ac:dyDescent="0.3">
      <c r="A47" s="5"/>
      <c r="B47" s="5"/>
      <c r="C47" s="5"/>
      <c r="G47" s="8"/>
      <c r="H47" s="5"/>
      <c r="I47" s="5"/>
      <c r="N47" s="5"/>
      <c r="R47" s="8"/>
      <c r="S47" s="5"/>
    </row>
    <row r="48" spans="1:19" x14ac:dyDescent="0.3">
      <c r="A48" s="5"/>
      <c r="B48" s="5"/>
      <c r="C48" s="5"/>
      <c r="G48" s="8"/>
      <c r="H48" s="5"/>
      <c r="I48" s="5"/>
      <c r="N48" s="5"/>
      <c r="R48" s="8"/>
      <c r="S48" s="5"/>
    </row>
    <row r="49" spans="1:19" x14ac:dyDescent="0.3">
      <c r="A49" s="5"/>
      <c r="B49" s="5"/>
      <c r="C49" s="5"/>
      <c r="G49" s="8"/>
      <c r="H49" s="5"/>
      <c r="I49" s="5"/>
      <c r="N49" s="5"/>
      <c r="R49" s="8"/>
      <c r="S49" s="5"/>
    </row>
    <row r="50" spans="1:19" x14ac:dyDescent="0.3">
      <c r="A50" s="5"/>
      <c r="B50" s="5"/>
      <c r="C50" s="5"/>
      <c r="G50" s="8"/>
      <c r="H50" s="5"/>
      <c r="I50" s="5"/>
      <c r="N50" s="5"/>
      <c r="R50" s="8"/>
      <c r="S50" s="5"/>
    </row>
    <row r="51" spans="1:19" x14ac:dyDescent="0.3">
      <c r="A51" s="5"/>
      <c r="B51" s="5"/>
      <c r="C51" s="5"/>
      <c r="G51" s="8"/>
      <c r="H51" s="5"/>
      <c r="I51" s="5"/>
      <c r="N51" s="5"/>
      <c r="R51" s="8"/>
      <c r="S51" s="5"/>
    </row>
    <row r="52" spans="1:19" x14ac:dyDescent="0.3">
      <c r="A52" s="5"/>
      <c r="B52" s="5"/>
      <c r="C52" s="5"/>
      <c r="G52" s="8"/>
      <c r="H52" s="5"/>
      <c r="I52" s="5"/>
      <c r="N52" s="5"/>
      <c r="R52" s="8"/>
      <c r="S52" s="5"/>
    </row>
    <row r="53" spans="1:19" x14ac:dyDescent="0.3">
      <c r="A53" s="5"/>
      <c r="B53" s="5"/>
      <c r="C53" s="5"/>
      <c r="G53" s="8"/>
      <c r="H53" s="5"/>
      <c r="I53" s="5"/>
      <c r="N53" s="5"/>
      <c r="R53" s="8"/>
      <c r="S53" s="5"/>
    </row>
    <row r="54" spans="1:19" x14ac:dyDescent="0.3">
      <c r="A54" s="5"/>
      <c r="B54" s="5"/>
      <c r="C54" s="5"/>
      <c r="G54" s="8"/>
      <c r="H54" s="5"/>
      <c r="I54" s="5"/>
      <c r="N54" s="5"/>
      <c r="R54" s="8"/>
      <c r="S54" s="5"/>
    </row>
    <row r="55" spans="1:19" x14ac:dyDescent="0.3">
      <c r="A55" s="5"/>
      <c r="B55" s="5"/>
      <c r="C55" s="5"/>
      <c r="G55" s="8"/>
      <c r="H55" s="5"/>
      <c r="I55" s="5"/>
      <c r="N55" s="5"/>
      <c r="R55" s="8"/>
      <c r="S55" s="5"/>
    </row>
    <row r="56" spans="1:19" x14ac:dyDescent="0.3">
      <c r="A56" s="5"/>
      <c r="B56" s="5"/>
      <c r="C56" s="5"/>
      <c r="G56" s="8"/>
      <c r="H56" s="5"/>
      <c r="I56" s="5"/>
      <c r="N56" s="5"/>
      <c r="R56" s="8"/>
      <c r="S56" s="5"/>
    </row>
    <row r="57" spans="1:19" x14ac:dyDescent="0.3">
      <c r="A57" s="5"/>
      <c r="B57" s="5"/>
      <c r="C57" s="5"/>
      <c r="G57" s="8"/>
      <c r="H57" s="5"/>
      <c r="I57" s="5"/>
      <c r="N57" s="5"/>
      <c r="R57" s="8"/>
      <c r="S57" s="5"/>
    </row>
    <row r="58" spans="1:19" x14ac:dyDescent="0.3">
      <c r="A58" s="5"/>
      <c r="B58" s="5"/>
      <c r="C58" s="5"/>
      <c r="G58" s="8"/>
      <c r="H58" s="5"/>
      <c r="I58" s="5"/>
      <c r="N58" s="5"/>
      <c r="R58" s="8"/>
      <c r="S58" s="5"/>
    </row>
    <row r="59" spans="1:19" x14ac:dyDescent="0.3">
      <c r="A59" s="5"/>
      <c r="B59" s="5"/>
      <c r="C59" s="5"/>
      <c r="G59" s="8"/>
      <c r="H59" s="5"/>
      <c r="I59" s="5"/>
      <c r="N59" s="5"/>
      <c r="R59" s="8"/>
      <c r="S59" s="5"/>
    </row>
    <row r="60" spans="1:19" x14ac:dyDescent="0.3">
      <c r="A60" s="5"/>
      <c r="B60" s="5"/>
      <c r="C60" s="5"/>
      <c r="G60" s="8"/>
      <c r="H60" s="5"/>
      <c r="I60" s="5"/>
      <c r="N60" s="5"/>
      <c r="R60" s="8"/>
      <c r="S60" s="5"/>
    </row>
    <row r="61" spans="1:19" x14ac:dyDescent="0.3">
      <c r="A61" s="5"/>
      <c r="B61" s="5"/>
      <c r="C61" s="5"/>
      <c r="G61" s="8"/>
      <c r="H61" s="5"/>
      <c r="I61" s="5"/>
      <c r="N61" s="5"/>
      <c r="R61" s="8"/>
      <c r="S61" s="5"/>
    </row>
    <row r="62" spans="1:19" x14ac:dyDescent="0.3">
      <c r="A62" s="5"/>
      <c r="B62" s="5"/>
      <c r="C62" s="5"/>
      <c r="G62" s="8"/>
      <c r="H62" s="5"/>
      <c r="I62" s="5"/>
      <c r="N62" s="5"/>
      <c r="R62" s="8"/>
      <c r="S62" s="5"/>
    </row>
    <row r="63" spans="1:19" x14ac:dyDescent="0.3">
      <c r="A63" s="5"/>
      <c r="B63" s="5"/>
      <c r="C63" s="5"/>
      <c r="G63" s="8"/>
      <c r="H63" s="5"/>
      <c r="I63" s="5"/>
      <c r="N63" s="5"/>
      <c r="R63" s="8"/>
      <c r="S63" s="5"/>
    </row>
    <row r="64" spans="1:19" x14ac:dyDescent="0.3">
      <c r="A64" s="5"/>
      <c r="B64" s="5"/>
      <c r="C64" s="5"/>
      <c r="G64" s="8"/>
      <c r="H64" s="5"/>
      <c r="I64" s="5"/>
      <c r="N64" s="5"/>
      <c r="R64" s="8"/>
      <c r="S64" s="5"/>
    </row>
    <row r="65" spans="1:19" x14ac:dyDescent="0.3">
      <c r="A65" s="5"/>
      <c r="B65" s="5"/>
      <c r="C65" s="5"/>
      <c r="G65" s="8"/>
      <c r="H65" s="5"/>
      <c r="I65" s="5"/>
      <c r="N65" s="5"/>
      <c r="R65" s="8"/>
      <c r="S65" s="5"/>
    </row>
    <row r="66" spans="1:19" x14ac:dyDescent="0.3">
      <c r="A66" s="5"/>
      <c r="B66" s="5"/>
      <c r="C66" s="5"/>
      <c r="G66" s="8"/>
      <c r="H66" s="5"/>
      <c r="I66" s="5"/>
      <c r="N66" s="5"/>
      <c r="R66" s="8"/>
      <c r="S66" s="5"/>
    </row>
    <row r="67" spans="1:19" x14ac:dyDescent="0.3">
      <c r="A67" s="5"/>
      <c r="B67" s="5"/>
      <c r="C67" s="5"/>
      <c r="G67" s="8"/>
      <c r="H67" s="5"/>
      <c r="I67" s="5"/>
      <c r="N67" s="5"/>
      <c r="R67" s="8"/>
      <c r="S67" s="5"/>
    </row>
    <row r="68" spans="1:19" x14ac:dyDescent="0.3">
      <c r="A68" s="5"/>
      <c r="B68" s="5"/>
      <c r="C68" s="5"/>
      <c r="G68" s="8"/>
      <c r="H68" s="5"/>
      <c r="I68" s="5"/>
      <c r="N68" s="5"/>
      <c r="R68" s="8"/>
      <c r="S68" s="5"/>
    </row>
    <row r="69" spans="1:19" x14ac:dyDescent="0.3">
      <c r="A69" s="5"/>
      <c r="B69" s="5"/>
      <c r="C69" s="5"/>
      <c r="G69" s="8"/>
      <c r="H69" s="5"/>
      <c r="I69" s="5"/>
      <c r="N69" s="5"/>
      <c r="R69" s="8"/>
      <c r="S69" s="5"/>
    </row>
    <row r="70" spans="1:19" x14ac:dyDescent="0.3">
      <c r="A70" s="5"/>
      <c r="B70" s="5"/>
      <c r="C70" s="5"/>
      <c r="G70" s="8"/>
      <c r="H70" s="5"/>
      <c r="I70" s="5"/>
      <c r="N70" s="5"/>
      <c r="R70" s="8"/>
      <c r="S70" s="5"/>
    </row>
    <row r="71" spans="1:19" x14ac:dyDescent="0.3">
      <c r="A71" s="5"/>
      <c r="B71" s="5"/>
      <c r="C71" s="5"/>
      <c r="G71" s="8"/>
      <c r="H71" s="5"/>
      <c r="I71" s="5"/>
      <c r="N71" s="5"/>
      <c r="R71" s="8"/>
      <c r="S71" s="5"/>
    </row>
    <row r="72" spans="1:19" x14ac:dyDescent="0.3">
      <c r="A72" s="5"/>
      <c r="B72" s="5"/>
      <c r="C72" s="5"/>
      <c r="G72" s="8"/>
      <c r="H72" s="5"/>
      <c r="I72" s="5"/>
      <c r="N72" s="5"/>
      <c r="R72" s="8"/>
      <c r="S72" s="5"/>
    </row>
    <row r="73" spans="1:19" x14ac:dyDescent="0.3">
      <c r="A73" s="5"/>
      <c r="B73" s="5"/>
      <c r="C73" s="5"/>
      <c r="G73" s="8"/>
      <c r="H73" s="5"/>
      <c r="I73" s="5"/>
      <c r="N73" s="5"/>
      <c r="R73" s="8"/>
      <c r="S73" s="5"/>
    </row>
    <row r="74" spans="1:19" x14ac:dyDescent="0.3">
      <c r="A74" s="5"/>
      <c r="B74" s="5"/>
      <c r="C74" s="5"/>
      <c r="G74" s="8"/>
      <c r="H74" s="5"/>
      <c r="I74" s="5"/>
      <c r="N74" s="5"/>
      <c r="R74" s="8"/>
      <c r="S74" s="5"/>
    </row>
    <row r="75" spans="1:19" x14ac:dyDescent="0.3">
      <c r="A75" s="5"/>
      <c r="B75" s="5"/>
      <c r="C75" s="5"/>
      <c r="G75" s="8"/>
      <c r="H75" s="5"/>
      <c r="I75" s="5"/>
      <c r="N75" s="5"/>
      <c r="R75" s="8"/>
      <c r="S75" s="5"/>
    </row>
    <row r="76" spans="1:19" x14ac:dyDescent="0.3">
      <c r="A76" s="5"/>
      <c r="B76" s="5"/>
      <c r="C76" s="5"/>
      <c r="G76" s="8"/>
      <c r="H76" s="5"/>
      <c r="I76" s="5"/>
      <c r="N76" s="5"/>
      <c r="R76" s="8"/>
      <c r="S76" s="5"/>
    </row>
    <row r="77" spans="1:19" x14ac:dyDescent="0.3">
      <c r="A77" s="5"/>
      <c r="B77" s="5"/>
      <c r="C77" s="5"/>
      <c r="G77" s="8"/>
      <c r="H77" s="5"/>
      <c r="I77" s="5"/>
      <c r="N77" s="5"/>
      <c r="R77" s="8"/>
      <c r="S77" s="5"/>
    </row>
    <row r="78" spans="1:19" x14ac:dyDescent="0.3">
      <c r="A78" s="5"/>
      <c r="B78" s="5"/>
      <c r="C78" s="5"/>
      <c r="G78" s="8"/>
      <c r="H78" s="5"/>
      <c r="I78" s="5"/>
      <c r="N78" s="5"/>
      <c r="R78" s="8"/>
      <c r="S78" s="5"/>
    </row>
    <row r="79" spans="1:19" x14ac:dyDescent="0.3">
      <c r="A79" s="5"/>
      <c r="B79" s="5"/>
      <c r="C79" s="5"/>
      <c r="G79" s="8"/>
      <c r="H79" s="5"/>
      <c r="I79" s="5"/>
      <c r="N79" s="5"/>
      <c r="R79" s="8"/>
      <c r="S79" s="5"/>
    </row>
    <row r="80" spans="1:19" x14ac:dyDescent="0.3">
      <c r="A80" s="5"/>
      <c r="B80" s="5"/>
      <c r="C80" s="5"/>
      <c r="G80" s="8"/>
      <c r="H80" s="5"/>
      <c r="I80" s="5"/>
      <c r="N80" s="5"/>
      <c r="R80" s="8"/>
      <c r="S80" s="5"/>
    </row>
    <row r="81" spans="1:19" x14ac:dyDescent="0.3">
      <c r="A81" s="5"/>
      <c r="B81" s="5"/>
      <c r="C81" s="5"/>
      <c r="G81" s="8"/>
      <c r="H81" s="5"/>
      <c r="I81" s="5"/>
      <c r="N81" s="5"/>
      <c r="R81" s="8"/>
      <c r="S81" s="5"/>
    </row>
    <row r="82" spans="1:19" x14ac:dyDescent="0.3">
      <c r="A82" s="5"/>
      <c r="B82" s="5"/>
      <c r="C82" s="5"/>
      <c r="G82" s="8"/>
      <c r="H82" s="5"/>
      <c r="I82" s="5"/>
      <c r="N82" s="5"/>
      <c r="R82" s="8"/>
      <c r="S82" s="5"/>
    </row>
    <row r="83" spans="1:19" x14ac:dyDescent="0.3">
      <c r="A83" s="5"/>
      <c r="B83" s="5"/>
      <c r="C83" s="5"/>
      <c r="G83" s="8"/>
      <c r="H83" s="5"/>
      <c r="I83" s="5"/>
      <c r="N83" s="5"/>
      <c r="R83" s="8"/>
      <c r="S83" s="5"/>
    </row>
    <row r="84" spans="1:19" x14ac:dyDescent="0.3">
      <c r="A84" s="5"/>
      <c r="B84" s="5"/>
      <c r="C84" s="5"/>
      <c r="G84" s="8"/>
      <c r="H84" s="5"/>
      <c r="I84" s="5"/>
      <c r="N84" s="5"/>
      <c r="R84" s="8"/>
      <c r="S84" s="5"/>
    </row>
    <row r="85" spans="1:19" x14ac:dyDescent="0.3">
      <c r="A85" s="5"/>
      <c r="B85" s="5"/>
      <c r="C85" s="5"/>
      <c r="G85" s="8"/>
      <c r="H85" s="5"/>
      <c r="I85" s="5"/>
      <c r="N85" s="5"/>
      <c r="R85" s="8"/>
      <c r="S85" s="5"/>
    </row>
    <row r="86" spans="1:19" x14ac:dyDescent="0.3">
      <c r="A86" s="5"/>
      <c r="B86" s="5"/>
      <c r="C86" s="5"/>
      <c r="G86" s="8"/>
      <c r="H86" s="5"/>
      <c r="I86" s="5"/>
      <c r="N86" s="5"/>
      <c r="R86" s="8"/>
      <c r="S86" s="5"/>
    </row>
    <row r="87" spans="1:19" x14ac:dyDescent="0.3">
      <c r="A87" s="5"/>
      <c r="B87" s="5"/>
      <c r="C87" s="5"/>
      <c r="G87" s="8"/>
      <c r="H87" s="5"/>
      <c r="I87" s="5"/>
      <c r="N87" s="5"/>
      <c r="R87" s="8"/>
      <c r="S87" s="5"/>
    </row>
    <row r="88" spans="1:19" x14ac:dyDescent="0.3">
      <c r="A88" s="5"/>
      <c r="B88" s="5"/>
      <c r="C88" s="5"/>
      <c r="G88" s="8"/>
      <c r="H88" s="5"/>
      <c r="I88" s="5"/>
      <c r="N88" s="5"/>
      <c r="R88" s="8"/>
      <c r="S88" s="5"/>
    </row>
    <row r="89" spans="1:19" x14ac:dyDescent="0.3">
      <c r="A89" s="5"/>
      <c r="B89" s="5"/>
      <c r="C89" s="5"/>
      <c r="G89" s="8"/>
      <c r="H89" s="5"/>
      <c r="I89" s="5"/>
      <c r="N89" s="5"/>
      <c r="R89" s="8"/>
      <c r="S89" s="5"/>
    </row>
    <row r="90" spans="1:19" x14ac:dyDescent="0.3">
      <c r="A90" s="5"/>
      <c r="B90" s="5"/>
      <c r="C90" s="5"/>
      <c r="G90" s="8"/>
      <c r="H90" s="5"/>
      <c r="I90" s="5"/>
      <c r="N90" s="5"/>
      <c r="R90" s="8"/>
      <c r="S90" s="5"/>
    </row>
    <row r="91" spans="1:19" x14ac:dyDescent="0.3">
      <c r="A91" s="5"/>
      <c r="B91" s="5"/>
      <c r="C91" s="5"/>
      <c r="G91" s="8"/>
      <c r="H91" s="5"/>
      <c r="I91" s="5"/>
      <c r="N91" s="5"/>
      <c r="R91" s="8"/>
      <c r="S91" s="5"/>
    </row>
    <row r="92" spans="1:19" x14ac:dyDescent="0.3">
      <c r="A92" s="5"/>
      <c r="B92" s="5"/>
      <c r="C92" s="5"/>
      <c r="G92" s="8"/>
      <c r="H92" s="5"/>
      <c r="I92" s="5"/>
      <c r="N92" s="5"/>
      <c r="R92" s="8"/>
      <c r="S92" s="5"/>
    </row>
    <row r="93" spans="1:19" x14ac:dyDescent="0.3">
      <c r="A93" s="5"/>
      <c r="B93" s="5"/>
      <c r="C93" s="5"/>
      <c r="G93" s="8"/>
      <c r="H93" s="5"/>
      <c r="I93" s="5"/>
      <c r="N93" s="5"/>
      <c r="R93" s="8"/>
      <c r="S93" s="5"/>
    </row>
    <row r="94" spans="1:19" x14ac:dyDescent="0.3">
      <c r="A94" s="5"/>
      <c r="B94" s="5"/>
      <c r="C94" s="5"/>
      <c r="G94" s="8"/>
      <c r="H94" s="5"/>
      <c r="I94" s="5"/>
      <c r="N94" s="5"/>
      <c r="R94" s="8"/>
      <c r="S94" s="5"/>
    </row>
    <row r="95" spans="1:19" x14ac:dyDescent="0.3">
      <c r="A95" s="5"/>
      <c r="B95" s="5"/>
      <c r="C95" s="5"/>
      <c r="G95" s="8"/>
      <c r="H95" s="5"/>
      <c r="I95" s="5"/>
      <c r="N95" s="5"/>
      <c r="R95" s="8"/>
      <c r="S95" s="5"/>
    </row>
    <row r="96" spans="1:19" x14ac:dyDescent="0.3">
      <c r="A96" s="5"/>
      <c r="B96" s="5"/>
      <c r="C96" s="5"/>
      <c r="G96" s="8"/>
      <c r="H96" s="5"/>
      <c r="I96" s="5"/>
      <c r="N96" s="5"/>
      <c r="R96" s="8"/>
      <c r="S96" s="5"/>
    </row>
    <row r="97" spans="1:19" x14ac:dyDescent="0.3">
      <c r="A97" s="5"/>
      <c r="B97" s="5"/>
      <c r="C97" s="5"/>
      <c r="G97" s="8"/>
      <c r="H97" s="5"/>
      <c r="I97" s="5"/>
      <c r="N97" s="5"/>
      <c r="R97" s="8"/>
      <c r="S97" s="5"/>
    </row>
    <row r="98" spans="1:19" x14ac:dyDescent="0.3">
      <c r="A98" s="5"/>
      <c r="B98" s="5"/>
      <c r="C98" s="5"/>
      <c r="G98" s="8"/>
      <c r="H98" s="5"/>
      <c r="I98" s="5"/>
      <c r="N98" s="5"/>
      <c r="R98" s="8"/>
      <c r="S98" s="5"/>
    </row>
    <row r="99" spans="1:19" x14ac:dyDescent="0.3">
      <c r="A99" s="5"/>
      <c r="B99" s="5"/>
      <c r="C99" s="5"/>
      <c r="G99" s="8"/>
      <c r="H99" s="5"/>
      <c r="I99" s="5"/>
      <c r="N99" s="5"/>
      <c r="R99" s="8"/>
      <c r="S99" s="5"/>
    </row>
    <row r="100" spans="1:19" x14ac:dyDescent="0.3">
      <c r="A100" s="5"/>
      <c r="B100" s="5"/>
      <c r="C100" s="5"/>
      <c r="G100" s="8"/>
      <c r="H100" s="5"/>
      <c r="I100" s="5"/>
      <c r="N100" s="5"/>
      <c r="R100" s="8"/>
      <c r="S100" s="5"/>
    </row>
    <row r="101" spans="1:19" x14ac:dyDescent="0.3">
      <c r="A101" s="5"/>
      <c r="B101" s="5"/>
      <c r="C101" s="5"/>
      <c r="G101" s="8"/>
      <c r="H101" s="5"/>
      <c r="I101" s="5"/>
      <c r="N101" s="5"/>
      <c r="R101" s="8"/>
      <c r="S101" s="5"/>
    </row>
    <row r="102" spans="1:19" x14ac:dyDescent="0.3">
      <c r="A102" s="5"/>
      <c r="B102" s="5"/>
      <c r="C102" s="5"/>
      <c r="G102" s="8"/>
      <c r="H102" s="5"/>
      <c r="I102" s="5"/>
      <c r="N102" s="5"/>
      <c r="R102" s="8"/>
      <c r="S102" s="5"/>
    </row>
    <row r="103" spans="1:19" x14ac:dyDescent="0.3">
      <c r="A103" s="5"/>
      <c r="B103" s="5"/>
      <c r="C103" s="5"/>
      <c r="G103" s="8"/>
      <c r="H103" s="5"/>
      <c r="I103" s="5"/>
      <c r="N103" s="5"/>
      <c r="R103" s="8"/>
      <c r="S103" s="5"/>
    </row>
    <row r="104" spans="1:19" x14ac:dyDescent="0.3">
      <c r="A104" s="5"/>
      <c r="B104" s="5"/>
      <c r="C104" s="5"/>
      <c r="G104" s="8"/>
      <c r="H104" s="5"/>
      <c r="I104" s="5"/>
      <c r="N104" s="5"/>
      <c r="R104" s="8"/>
      <c r="S104" s="5"/>
    </row>
    <row r="105" spans="1:19" x14ac:dyDescent="0.3">
      <c r="A105" s="5"/>
      <c r="B105" s="5"/>
      <c r="C105" s="5"/>
      <c r="G105" s="8"/>
      <c r="H105" s="5"/>
      <c r="I105" s="5"/>
      <c r="N105" s="5"/>
      <c r="R105" s="8"/>
      <c r="S105" s="5"/>
    </row>
    <row r="106" spans="1:19" x14ac:dyDescent="0.3">
      <c r="A106" s="5"/>
      <c r="B106" s="5"/>
      <c r="C106" s="5"/>
      <c r="G106" s="8"/>
      <c r="H106" s="5"/>
      <c r="I106" s="5"/>
      <c r="N106" s="5"/>
      <c r="R106" s="8"/>
      <c r="S106" s="5"/>
    </row>
    <row r="107" spans="1:19" x14ac:dyDescent="0.3">
      <c r="A107" s="5"/>
      <c r="B107" s="5"/>
      <c r="C107" s="5"/>
      <c r="G107" s="8"/>
      <c r="H107" s="5"/>
      <c r="I107" s="5"/>
      <c r="N107" s="5"/>
      <c r="R107" s="8"/>
      <c r="S107" s="5"/>
    </row>
    <row r="108" spans="1:19" x14ac:dyDescent="0.3">
      <c r="A108" s="5"/>
      <c r="B108" s="5"/>
      <c r="C108" s="5"/>
      <c r="G108" s="8"/>
      <c r="H108" s="5"/>
      <c r="I108" s="5"/>
      <c r="N108" s="5"/>
      <c r="R108" s="8"/>
      <c r="S108" s="5"/>
    </row>
    <row r="109" spans="1:19" x14ac:dyDescent="0.3">
      <c r="A109" s="5"/>
      <c r="B109" s="5"/>
      <c r="C109" s="5"/>
      <c r="G109" s="8"/>
      <c r="H109" s="5"/>
      <c r="I109" s="5"/>
      <c r="N109" s="5"/>
      <c r="R109" s="8"/>
      <c r="S109" s="5"/>
    </row>
    <row r="110" spans="1:19" x14ac:dyDescent="0.3">
      <c r="A110" s="5"/>
      <c r="B110" s="5"/>
      <c r="C110" s="5"/>
      <c r="G110" s="8"/>
      <c r="H110" s="5"/>
      <c r="I110" s="5"/>
      <c r="N110" s="5"/>
      <c r="R110" s="8"/>
      <c r="S110" s="5"/>
    </row>
    <row r="111" spans="1:19" x14ac:dyDescent="0.3">
      <c r="A111" s="5"/>
      <c r="B111" s="5"/>
      <c r="C111" s="5"/>
      <c r="G111" s="8"/>
      <c r="H111" s="5"/>
      <c r="I111" s="5"/>
      <c r="N111" s="5"/>
      <c r="R111" s="8"/>
      <c r="S111" s="5"/>
    </row>
    <row r="112" spans="1:19" x14ac:dyDescent="0.3">
      <c r="A112" s="5"/>
      <c r="B112" s="5"/>
      <c r="C112" s="5"/>
      <c r="G112" s="8"/>
      <c r="H112" s="5"/>
      <c r="I112" s="5"/>
      <c r="N112" s="5"/>
      <c r="R112" s="8"/>
      <c r="S112" s="5"/>
    </row>
    <row r="113" spans="1:19" x14ac:dyDescent="0.3">
      <c r="A113" s="5"/>
      <c r="B113" s="5"/>
      <c r="C113" s="5"/>
      <c r="G113" s="8"/>
      <c r="H113" s="5"/>
      <c r="I113" s="5"/>
      <c r="N113" s="5"/>
      <c r="R113" s="8"/>
      <c r="S113" s="5"/>
    </row>
    <row r="114" spans="1:19" x14ac:dyDescent="0.3">
      <c r="A114" s="5"/>
      <c r="B114" s="5"/>
      <c r="C114" s="5"/>
      <c r="G114" s="8"/>
      <c r="H114" s="5"/>
      <c r="I114" s="5"/>
      <c r="N114" s="5"/>
      <c r="R114" s="8"/>
      <c r="S114" s="5"/>
    </row>
    <row r="115" spans="1:19" x14ac:dyDescent="0.3">
      <c r="A115" s="5"/>
      <c r="B115" s="5"/>
      <c r="C115" s="5"/>
      <c r="G115" s="8"/>
      <c r="H115" s="5"/>
      <c r="I115" s="5"/>
      <c r="N115" s="5"/>
      <c r="R115" s="8"/>
      <c r="S115" s="5"/>
    </row>
    <row r="116" spans="1:19" x14ac:dyDescent="0.3">
      <c r="A116" s="5"/>
      <c r="B116" s="5"/>
      <c r="C116" s="5"/>
      <c r="G116" s="8"/>
      <c r="H116" s="5"/>
      <c r="I116" s="5"/>
      <c r="N116" s="5"/>
      <c r="R116" s="8"/>
      <c r="S116" s="5"/>
    </row>
    <row r="117" spans="1:19" x14ac:dyDescent="0.3">
      <c r="A117" s="5"/>
      <c r="B117" s="5"/>
      <c r="C117" s="5"/>
      <c r="G117" s="8"/>
      <c r="H117" s="5"/>
      <c r="I117" s="5"/>
      <c r="N117" s="5"/>
      <c r="R117" s="8"/>
      <c r="S117" s="5"/>
    </row>
    <row r="118" spans="1:19" x14ac:dyDescent="0.3">
      <c r="A118" s="5"/>
      <c r="B118" s="5"/>
      <c r="C118" s="5"/>
      <c r="G118" s="8"/>
      <c r="H118" s="5"/>
      <c r="I118" s="5"/>
      <c r="N118" s="5"/>
      <c r="R118" s="8"/>
      <c r="S118" s="5"/>
    </row>
    <row r="119" spans="1:19" x14ac:dyDescent="0.3">
      <c r="A119" s="5"/>
      <c r="B119" s="5"/>
      <c r="C119" s="5"/>
      <c r="G119" s="8"/>
      <c r="H119" s="5"/>
      <c r="I119" s="5"/>
      <c r="N119" s="5"/>
      <c r="R119" s="8"/>
      <c r="S119" s="5"/>
    </row>
    <row r="120" spans="1:19" x14ac:dyDescent="0.3">
      <c r="A120" s="5"/>
      <c r="B120" s="5"/>
      <c r="C120" s="5"/>
      <c r="G120" s="8"/>
      <c r="H120" s="5"/>
      <c r="I120" s="5"/>
      <c r="N120" s="5"/>
      <c r="R120" s="8"/>
      <c r="S120" s="5"/>
    </row>
    <row r="121" spans="1:19" x14ac:dyDescent="0.3">
      <c r="A121" s="5"/>
      <c r="B121" s="5"/>
      <c r="C121" s="5"/>
      <c r="G121" s="8"/>
      <c r="H121" s="5"/>
      <c r="I121" s="5"/>
      <c r="N121" s="5"/>
      <c r="R121" s="8"/>
      <c r="S121" s="5"/>
    </row>
    <row r="122" spans="1:19" x14ac:dyDescent="0.3">
      <c r="A122" s="5"/>
      <c r="B122" s="5"/>
      <c r="C122" s="5"/>
      <c r="G122" s="8"/>
      <c r="H122" s="5"/>
      <c r="I122" s="5"/>
      <c r="N122" s="5"/>
      <c r="R122" s="8"/>
      <c r="S122" s="5"/>
    </row>
    <row r="123" spans="1:19" x14ac:dyDescent="0.3">
      <c r="A123" s="5"/>
      <c r="B123" s="5"/>
      <c r="C123" s="5"/>
      <c r="G123" s="8"/>
      <c r="H123" s="5"/>
      <c r="I123" s="5"/>
      <c r="N123" s="5"/>
      <c r="R123" s="8"/>
      <c r="S123" s="5"/>
    </row>
    <row r="124" spans="1:19" x14ac:dyDescent="0.3">
      <c r="A124" s="5"/>
      <c r="B124" s="5"/>
      <c r="C124" s="5"/>
      <c r="G124" s="8"/>
      <c r="H124" s="5"/>
      <c r="I124" s="5"/>
      <c r="N124" s="5"/>
      <c r="R124" s="8"/>
      <c r="S124" s="5"/>
    </row>
    <row r="125" spans="1:19" x14ac:dyDescent="0.3">
      <c r="A125" s="5"/>
      <c r="B125" s="5"/>
      <c r="C125" s="5"/>
      <c r="G125" s="8"/>
      <c r="H125" s="5"/>
      <c r="I125" s="5"/>
      <c r="N125" s="5"/>
      <c r="R125" s="8"/>
      <c r="S125" s="5"/>
    </row>
    <row r="126" spans="1:19" x14ac:dyDescent="0.3">
      <c r="A126" s="5"/>
      <c r="B126" s="5"/>
      <c r="C126" s="5"/>
      <c r="G126" s="8"/>
      <c r="H126" s="5"/>
      <c r="I126" s="5"/>
      <c r="N126" s="5"/>
      <c r="R126" s="8"/>
      <c r="S126" s="5"/>
    </row>
    <row r="127" spans="1:19" x14ac:dyDescent="0.3">
      <c r="A127" s="5"/>
      <c r="B127" s="5"/>
      <c r="C127" s="5"/>
      <c r="G127" s="8"/>
      <c r="H127" s="5"/>
      <c r="I127" s="5"/>
      <c r="N127" s="5"/>
      <c r="R127" s="8"/>
      <c r="S127" s="5"/>
    </row>
    <row r="128" spans="1:19" x14ac:dyDescent="0.3">
      <c r="A128" s="5"/>
      <c r="B128" s="5"/>
      <c r="C128" s="5"/>
      <c r="G128" s="8"/>
      <c r="H128" s="5"/>
      <c r="I128" s="5"/>
      <c r="N128" s="5"/>
      <c r="R128" s="8"/>
      <c r="S128" s="5"/>
    </row>
    <row r="129" spans="1:19" x14ac:dyDescent="0.3">
      <c r="A129" s="5"/>
      <c r="B129" s="5"/>
      <c r="C129" s="5"/>
      <c r="G129" s="8"/>
      <c r="H129" s="5"/>
      <c r="I129" s="5"/>
      <c r="N129" s="5"/>
      <c r="R129" s="8"/>
      <c r="S129" s="5"/>
    </row>
    <row r="130" spans="1:19" x14ac:dyDescent="0.3">
      <c r="A130" s="5"/>
      <c r="B130" s="5"/>
      <c r="C130" s="5"/>
      <c r="G130" s="8"/>
      <c r="H130" s="5"/>
      <c r="I130" s="5"/>
      <c r="N130" s="5"/>
      <c r="R130" s="8"/>
      <c r="S130" s="5"/>
    </row>
    <row r="131" spans="1:19" x14ac:dyDescent="0.3">
      <c r="A131" s="5"/>
      <c r="B131" s="5"/>
      <c r="C131" s="5"/>
      <c r="G131" s="8"/>
      <c r="H131" s="5"/>
      <c r="I131" s="5"/>
      <c r="N131" s="5"/>
      <c r="R131" s="8"/>
      <c r="S131" s="5"/>
    </row>
    <row r="132" spans="1:19" x14ac:dyDescent="0.3">
      <c r="A132" s="5"/>
      <c r="B132" s="5"/>
      <c r="C132" s="5"/>
      <c r="G132" s="8"/>
      <c r="H132" s="5"/>
      <c r="I132" s="5"/>
      <c r="N132" s="5"/>
      <c r="R132" s="8"/>
      <c r="S132" s="5"/>
    </row>
    <row r="133" spans="1:19" x14ac:dyDescent="0.3">
      <c r="A133" s="5"/>
      <c r="B133" s="5"/>
      <c r="C133" s="5"/>
      <c r="G133" s="8"/>
      <c r="H133" s="5"/>
      <c r="I133" s="5"/>
      <c r="N133" s="5"/>
      <c r="R133" s="8"/>
      <c r="S133" s="5"/>
    </row>
    <row r="134" spans="1:19" x14ac:dyDescent="0.3">
      <c r="A134" s="5"/>
      <c r="B134" s="5"/>
      <c r="C134" s="5"/>
      <c r="G134" s="8"/>
      <c r="H134" s="5"/>
      <c r="I134" s="5"/>
      <c r="N134" s="5"/>
      <c r="R134" s="8"/>
      <c r="S134" s="5"/>
    </row>
    <row r="135" spans="1:19" x14ac:dyDescent="0.3">
      <c r="A135" s="5"/>
      <c r="B135" s="5"/>
      <c r="C135" s="5"/>
      <c r="G135" s="8"/>
      <c r="H135" s="5"/>
      <c r="I135" s="5"/>
      <c r="N135" s="5"/>
      <c r="R135" s="8"/>
      <c r="S135" s="5"/>
    </row>
    <row r="136" spans="1:19" x14ac:dyDescent="0.3">
      <c r="A136" s="5"/>
      <c r="B136" s="5"/>
      <c r="C136" s="5"/>
      <c r="G136" s="8"/>
      <c r="H136" s="5"/>
      <c r="I136" s="5"/>
      <c r="N136" s="5"/>
      <c r="R136" s="8"/>
      <c r="S136" s="5"/>
    </row>
    <row r="137" spans="1:19" x14ac:dyDescent="0.3">
      <c r="A137" s="5"/>
      <c r="B137" s="5"/>
      <c r="C137" s="5"/>
      <c r="G137" s="8"/>
      <c r="H137" s="5"/>
      <c r="I137" s="5"/>
      <c r="N137" s="5"/>
      <c r="R137" s="8"/>
      <c r="S137" s="5"/>
    </row>
    <row r="138" spans="1:19" x14ac:dyDescent="0.3">
      <c r="A138" s="5"/>
      <c r="B138" s="5"/>
      <c r="C138" s="5"/>
      <c r="G138" s="8"/>
      <c r="H138" s="5"/>
      <c r="I138" s="5"/>
      <c r="N138" s="5"/>
      <c r="R138" s="8"/>
      <c r="S138" s="5"/>
    </row>
    <row r="139" spans="1:19" x14ac:dyDescent="0.3">
      <c r="A139" s="5"/>
      <c r="B139" s="5"/>
      <c r="C139" s="5"/>
      <c r="G139" s="8"/>
      <c r="H139" s="5"/>
      <c r="I139" s="5"/>
      <c r="N139" s="5"/>
      <c r="R139" s="8"/>
      <c r="S139" s="5"/>
    </row>
    <row r="140" spans="1:19" x14ac:dyDescent="0.3">
      <c r="A140" s="5"/>
      <c r="B140" s="5"/>
      <c r="C140" s="5"/>
      <c r="G140" s="8"/>
      <c r="H140" s="5"/>
      <c r="I140" s="5"/>
      <c r="N140" s="5"/>
      <c r="R140" s="8"/>
      <c r="S140" s="5"/>
    </row>
    <row r="141" spans="1:19" x14ac:dyDescent="0.3">
      <c r="A141" s="5"/>
      <c r="B141" s="5"/>
      <c r="C141" s="5"/>
      <c r="G141" s="8"/>
      <c r="H141" s="5"/>
      <c r="I141" s="5"/>
      <c r="N141" s="5"/>
      <c r="R141" s="8"/>
      <c r="S141" s="5"/>
    </row>
    <row r="142" spans="1:19" x14ac:dyDescent="0.3">
      <c r="A142" s="5"/>
      <c r="B142" s="5"/>
      <c r="C142" s="5"/>
      <c r="G142" s="8"/>
      <c r="H142" s="5"/>
      <c r="I142" s="5"/>
      <c r="N142" s="5"/>
      <c r="R142" s="8"/>
      <c r="S142" s="5"/>
    </row>
    <row r="143" spans="1:19" x14ac:dyDescent="0.3">
      <c r="A143" s="5"/>
      <c r="B143" s="5"/>
      <c r="C143" s="5"/>
      <c r="G143" s="8"/>
      <c r="H143" s="5"/>
      <c r="I143" s="5"/>
      <c r="N143" s="5"/>
      <c r="R143" s="8"/>
      <c r="S143" s="5"/>
    </row>
    <row r="144" spans="1:19" x14ac:dyDescent="0.3">
      <c r="A144" s="5"/>
      <c r="B144" s="5"/>
      <c r="C144" s="5"/>
      <c r="G144" s="8"/>
      <c r="H144" s="5"/>
      <c r="I144" s="5"/>
      <c r="N144" s="5"/>
      <c r="R144" s="8"/>
      <c r="S144" s="5"/>
    </row>
    <row r="145" spans="1:19" x14ac:dyDescent="0.3">
      <c r="A145" s="5"/>
      <c r="B145" s="5"/>
      <c r="C145" s="5"/>
      <c r="G145" s="8"/>
      <c r="H145" s="5"/>
      <c r="I145" s="5"/>
      <c r="N145" s="5"/>
      <c r="R145" s="8"/>
      <c r="S145" s="5"/>
    </row>
    <row r="146" spans="1:19" x14ac:dyDescent="0.3">
      <c r="A146" s="5"/>
      <c r="B146" s="5"/>
      <c r="C146" s="5"/>
      <c r="G146" s="8"/>
      <c r="H146" s="5"/>
      <c r="I146" s="5"/>
      <c r="N146" s="5"/>
      <c r="R146" s="8"/>
      <c r="S146" s="5"/>
    </row>
    <row r="147" spans="1:19" x14ac:dyDescent="0.3">
      <c r="A147" s="5"/>
      <c r="B147" s="5"/>
      <c r="C147" s="5"/>
      <c r="G147" s="8"/>
      <c r="H147" s="5"/>
      <c r="I147" s="5"/>
      <c r="N147" s="5"/>
      <c r="R147" s="8"/>
      <c r="S147" s="5"/>
    </row>
    <row r="148" spans="1:19" x14ac:dyDescent="0.3">
      <c r="A148" s="5"/>
      <c r="B148" s="5"/>
      <c r="C148" s="5"/>
      <c r="G148" s="8"/>
      <c r="H148" s="5"/>
      <c r="I148" s="5"/>
      <c r="N148" s="5"/>
      <c r="R148" s="8"/>
      <c r="S148" s="5"/>
    </row>
    <row r="149" spans="1:19" x14ac:dyDescent="0.3">
      <c r="A149" s="5"/>
      <c r="B149" s="5"/>
      <c r="C149" s="5"/>
      <c r="G149" s="8"/>
      <c r="H149" s="5"/>
      <c r="I149" s="5"/>
      <c r="N149" s="5"/>
      <c r="R149" s="8"/>
      <c r="S149" s="5"/>
    </row>
    <row r="150" spans="1:19" x14ac:dyDescent="0.3">
      <c r="A150" s="5"/>
      <c r="B150" s="5"/>
      <c r="C150" s="5"/>
      <c r="G150" s="8"/>
      <c r="H150" s="5"/>
      <c r="I150" s="5"/>
      <c r="N150" s="5"/>
      <c r="R150" s="8"/>
      <c r="S150" s="5"/>
    </row>
    <row r="151" spans="1:19" x14ac:dyDescent="0.3">
      <c r="A151" s="5"/>
      <c r="B151" s="5"/>
      <c r="C151" s="5"/>
      <c r="G151" s="8"/>
      <c r="H151" s="5"/>
      <c r="I151" s="5"/>
      <c r="N151" s="5"/>
      <c r="R151" s="8"/>
      <c r="S151" s="5"/>
    </row>
    <row r="152" spans="1:19" x14ac:dyDescent="0.3">
      <c r="A152" s="5"/>
      <c r="B152" s="5"/>
      <c r="C152" s="5"/>
      <c r="G152" s="8"/>
      <c r="H152" s="5"/>
      <c r="I152" s="5"/>
      <c r="N152" s="5"/>
      <c r="R152" s="8"/>
      <c r="S152" s="5"/>
    </row>
    <row r="153" spans="1:19" x14ac:dyDescent="0.3">
      <c r="A153" s="5"/>
      <c r="B153" s="5"/>
      <c r="C153" s="5"/>
      <c r="G153" s="8"/>
      <c r="H153" s="5"/>
      <c r="I153" s="5"/>
      <c r="N153" s="5"/>
      <c r="R153" s="8"/>
      <c r="S153" s="5"/>
    </row>
    <row r="154" spans="1:19" x14ac:dyDescent="0.3">
      <c r="A154" s="5"/>
      <c r="B154" s="5"/>
      <c r="C154" s="5"/>
      <c r="G154" s="8"/>
      <c r="H154" s="5"/>
      <c r="I154" s="5"/>
      <c r="N154" s="5"/>
      <c r="R154" s="8"/>
      <c r="S154" s="5"/>
    </row>
    <row r="155" spans="1:19" x14ac:dyDescent="0.3">
      <c r="A155" s="5"/>
      <c r="B155" s="5"/>
      <c r="C155" s="5"/>
      <c r="G155" s="8"/>
      <c r="H155" s="5"/>
      <c r="I155" s="5"/>
      <c r="N155" s="5"/>
      <c r="R155" s="8"/>
      <c r="S155" s="5"/>
    </row>
    <row r="156" spans="1:19" x14ac:dyDescent="0.3">
      <c r="A156" s="5"/>
      <c r="B156" s="5"/>
      <c r="C156" s="5"/>
      <c r="G156" s="8"/>
      <c r="H156" s="5"/>
      <c r="I156" s="5"/>
      <c r="N156" s="5"/>
      <c r="R156" s="8"/>
      <c r="S156" s="5"/>
    </row>
    <row r="157" spans="1:19" x14ac:dyDescent="0.3">
      <c r="A157" s="5"/>
      <c r="B157" s="5"/>
      <c r="C157" s="5"/>
      <c r="G157" s="8"/>
      <c r="H157" s="5"/>
      <c r="I157" s="5"/>
      <c r="N157" s="5"/>
      <c r="R157" s="8"/>
      <c r="S157" s="5"/>
    </row>
    <row r="158" spans="1:19" x14ac:dyDescent="0.3">
      <c r="A158" s="5"/>
      <c r="B158" s="5"/>
      <c r="C158" s="5"/>
      <c r="G158" s="8"/>
      <c r="H158" s="5"/>
      <c r="I158" s="5"/>
      <c r="N158" s="5"/>
      <c r="R158" s="8"/>
      <c r="S158" s="5"/>
    </row>
    <row r="159" spans="1:19" x14ac:dyDescent="0.3">
      <c r="A159" s="5"/>
      <c r="B159" s="5"/>
      <c r="C159" s="5"/>
      <c r="G159" s="8"/>
      <c r="H159" s="5"/>
      <c r="I159" s="5"/>
      <c r="N159" s="5"/>
      <c r="R159" s="8"/>
      <c r="S159" s="5"/>
    </row>
    <row r="160" spans="1:19" x14ac:dyDescent="0.3">
      <c r="A160" s="5"/>
      <c r="B160" s="5"/>
      <c r="C160" s="5"/>
      <c r="G160" s="8"/>
      <c r="H160" s="5"/>
      <c r="I160" s="5"/>
      <c r="N160" s="5"/>
      <c r="R160" s="8"/>
      <c r="S160" s="5"/>
    </row>
    <row r="161" spans="1:19" x14ac:dyDescent="0.3">
      <c r="A161" s="5"/>
      <c r="B161" s="5"/>
      <c r="C161" s="5"/>
      <c r="G161" s="8"/>
      <c r="H161" s="5"/>
      <c r="I161" s="5"/>
      <c r="N161" s="5"/>
      <c r="R161" s="8"/>
      <c r="S161" s="5"/>
    </row>
    <row r="162" spans="1:19" x14ac:dyDescent="0.3">
      <c r="A162" s="5"/>
      <c r="B162" s="5"/>
      <c r="C162" s="5"/>
      <c r="G162" s="8"/>
      <c r="H162" s="5"/>
      <c r="I162" s="5"/>
      <c r="N162" s="5"/>
      <c r="R162" s="8"/>
      <c r="S162" s="5"/>
    </row>
    <row r="163" spans="1:19" x14ac:dyDescent="0.3">
      <c r="A163" s="5"/>
      <c r="B163" s="5"/>
      <c r="C163" s="5"/>
      <c r="G163" s="8"/>
      <c r="H163" s="5"/>
      <c r="I163" s="5"/>
      <c r="N163" s="5"/>
      <c r="R163" s="8"/>
      <c r="S163" s="5"/>
    </row>
    <row r="164" spans="1:19" x14ac:dyDescent="0.3">
      <c r="A164" s="5"/>
      <c r="B164" s="5"/>
      <c r="C164" s="5"/>
      <c r="G164" s="8"/>
      <c r="H164" s="5"/>
      <c r="I164" s="5"/>
      <c r="N164" s="5"/>
      <c r="R164" s="8"/>
      <c r="S164" s="5"/>
    </row>
    <row r="165" spans="1:19" x14ac:dyDescent="0.3">
      <c r="A165" s="5"/>
      <c r="B165" s="5"/>
      <c r="C165" s="5"/>
      <c r="G165" s="8"/>
      <c r="H165" s="5"/>
      <c r="I165" s="5"/>
      <c r="N165" s="5"/>
      <c r="R165" s="8"/>
      <c r="S165" s="5"/>
    </row>
    <row r="166" spans="1:19" x14ac:dyDescent="0.3">
      <c r="A166" s="5"/>
      <c r="B166" s="5"/>
      <c r="C166" s="5"/>
      <c r="G166" s="8"/>
      <c r="H166" s="5"/>
      <c r="I166" s="5"/>
      <c r="N166" s="5"/>
      <c r="R166" s="8"/>
      <c r="S166" s="5"/>
    </row>
    <row r="167" spans="1:19" x14ac:dyDescent="0.3">
      <c r="A167" s="5"/>
      <c r="B167" s="5"/>
      <c r="C167" s="5"/>
      <c r="G167" s="8"/>
      <c r="H167" s="5"/>
      <c r="I167" s="5"/>
      <c r="N167" s="5"/>
      <c r="R167" s="8"/>
      <c r="S167" s="5"/>
    </row>
    <row r="168" spans="1:19" x14ac:dyDescent="0.3">
      <c r="A168" s="5"/>
      <c r="B168" s="5"/>
      <c r="C168" s="5"/>
      <c r="G168" s="8"/>
      <c r="H168" s="5"/>
      <c r="I168" s="5"/>
      <c r="N168" s="5"/>
      <c r="R168" s="8"/>
      <c r="S168" s="5"/>
    </row>
    <row r="169" spans="1:19" x14ac:dyDescent="0.3">
      <c r="A169" s="5"/>
      <c r="B169" s="5"/>
      <c r="C169" s="5"/>
      <c r="G169" s="8"/>
      <c r="H169" s="5"/>
      <c r="I169" s="5"/>
      <c r="N169" s="5"/>
      <c r="R169" s="8"/>
      <c r="S169" s="5"/>
    </row>
    <row r="170" spans="1:19" x14ac:dyDescent="0.3">
      <c r="A170" s="5"/>
      <c r="B170" s="5"/>
      <c r="C170" s="5"/>
      <c r="G170" s="8"/>
      <c r="H170" s="5"/>
      <c r="I170" s="5"/>
      <c r="N170" s="5"/>
      <c r="R170" s="8"/>
      <c r="S170" s="5"/>
    </row>
    <row r="171" spans="1:19" x14ac:dyDescent="0.3">
      <c r="A171" s="5"/>
      <c r="B171" s="5"/>
      <c r="C171" s="5"/>
      <c r="G171" s="8"/>
      <c r="H171" s="5"/>
      <c r="I171" s="5"/>
      <c r="N171" s="5"/>
      <c r="R171" s="8"/>
      <c r="S171" s="5"/>
    </row>
    <row r="172" spans="1:19" x14ac:dyDescent="0.3">
      <c r="A172" s="5"/>
      <c r="B172" s="5"/>
      <c r="C172" s="5"/>
      <c r="G172" s="8"/>
      <c r="H172" s="5"/>
      <c r="I172" s="5"/>
      <c r="N172" s="5"/>
      <c r="R172" s="8"/>
      <c r="S172" s="5"/>
    </row>
    <row r="173" spans="1:19" x14ac:dyDescent="0.3">
      <c r="A173" s="5"/>
      <c r="B173" s="5"/>
      <c r="C173" s="5"/>
      <c r="G173" s="8"/>
      <c r="H173" s="5"/>
      <c r="I173" s="5"/>
      <c r="N173" s="5"/>
      <c r="R173" s="8"/>
      <c r="S173" s="5"/>
    </row>
    <row r="174" spans="1:19" x14ac:dyDescent="0.3">
      <c r="A174" s="5"/>
      <c r="B174" s="5"/>
      <c r="C174" s="5"/>
      <c r="G174" s="8"/>
      <c r="H174" s="5"/>
      <c r="I174" s="5"/>
      <c r="N174" s="5"/>
      <c r="R174" s="8"/>
      <c r="S174" s="5"/>
    </row>
    <row r="175" spans="1:19" x14ac:dyDescent="0.3">
      <c r="A175" s="5"/>
      <c r="B175" s="5"/>
      <c r="C175" s="5"/>
      <c r="G175" s="8"/>
      <c r="H175" s="5"/>
      <c r="I175" s="5"/>
      <c r="N175" s="5"/>
      <c r="R175" s="8"/>
      <c r="S175" s="5"/>
    </row>
    <row r="176" spans="1:19" x14ac:dyDescent="0.3">
      <c r="A176" s="5"/>
      <c r="B176" s="5"/>
      <c r="C176" s="5"/>
      <c r="G176" s="8"/>
      <c r="H176" s="5"/>
      <c r="I176" s="5"/>
      <c r="N176" s="5"/>
      <c r="R176" s="8"/>
      <c r="S176" s="5"/>
    </row>
    <row r="177" spans="1:19" x14ac:dyDescent="0.3">
      <c r="A177" s="5"/>
      <c r="B177" s="5"/>
      <c r="C177" s="5"/>
      <c r="G177" s="8"/>
      <c r="H177" s="5"/>
      <c r="I177" s="5"/>
      <c r="N177" s="5"/>
      <c r="R177" s="8"/>
      <c r="S177" s="5"/>
    </row>
    <row r="178" spans="1:19" x14ac:dyDescent="0.3">
      <c r="A178" s="5"/>
      <c r="B178" s="5"/>
      <c r="C178" s="5"/>
      <c r="G178" s="8"/>
      <c r="H178" s="5"/>
      <c r="I178" s="5"/>
      <c r="N178" s="5"/>
      <c r="R178" s="8"/>
      <c r="S178" s="5"/>
    </row>
    <row r="179" spans="1:19" x14ac:dyDescent="0.3">
      <c r="A179" s="5"/>
      <c r="B179" s="5"/>
      <c r="C179" s="5"/>
      <c r="G179" s="8"/>
      <c r="H179" s="5"/>
      <c r="I179" s="5"/>
      <c r="N179" s="5"/>
      <c r="R179" s="8"/>
      <c r="S179" s="5"/>
    </row>
    <row r="180" spans="1:19" x14ac:dyDescent="0.3">
      <c r="A180" s="5"/>
      <c r="B180" s="5"/>
      <c r="C180" s="5"/>
      <c r="G180" s="8"/>
      <c r="H180" s="5"/>
      <c r="I180" s="5"/>
      <c r="N180" s="5"/>
      <c r="R180" s="8"/>
      <c r="S180" s="5"/>
    </row>
    <row r="181" spans="1:19" x14ac:dyDescent="0.3">
      <c r="A181" s="5"/>
      <c r="B181" s="5"/>
      <c r="C181" s="5"/>
      <c r="G181" s="8"/>
      <c r="H181" s="5"/>
      <c r="I181" s="5"/>
      <c r="N181" s="5"/>
      <c r="R181" s="8"/>
      <c r="S181" s="5"/>
    </row>
    <row r="182" spans="1:19" x14ac:dyDescent="0.3">
      <c r="A182" s="5"/>
      <c r="B182" s="5"/>
      <c r="C182" s="5"/>
      <c r="G182" s="8"/>
      <c r="H182" s="5"/>
      <c r="I182" s="5"/>
      <c r="N182" s="5"/>
      <c r="R182" s="8"/>
      <c r="S182" s="5"/>
    </row>
    <row r="183" spans="1:19" x14ac:dyDescent="0.3">
      <c r="A183" s="5"/>
      <c r="B183" s="5"/>
      <c r="C183" s="5"/>
      <c r="G183" s="8"/>
      <c r="H183" s="5"/>
      <c r="I183" s="5"/>
      <c r="N183" s="5"/>
      <c r="R183" s="8"/>
      <c r="S183" s="5"/>
    </row>
    <row r="184" spans="1:19" x14ac:dyDescent="0.3">
      <c r="A184" s="5"/>
      <c r="B184" s="5"/>
      <c r="C184" s="5"/>
      <c r="G184" s="8"/>
      <c r="H184" s="5"/>
      <c r="I184" s="5"/>
      <c r="N184" s="5"/>
      <c r="R184" s="8"/>
      <c r="S184" s="5"/>
    </row>
    <row r="185" spans="1:19" x14ac:dyDescent="0.3">
      <c r="A185" s="5"/>
      <c r="B185" s="5"/>
      <c r="C185" s="5"/>
      <c r="G185" s="8"/>
      <c r="H185" s="5"/>
      <c r="I185" s="5"/>
      <c r="N185" s="5"/>
      <c r="R185" s="8"/>
      <c r="S185" s="5"/>
    </row>
    <row r="186" spans="1:19" x14ac:dyDescent="0.3">
      <c r="A186" s="5"/>
      <c r="B186" s="5"/>
      <c r="C186" s="5"/>
      <c r="G186" s="8"/>
      <c r="H186" s="5"/>
      <c r="I186" s="5"/>
      <c r="N186" s="5"/>
      <c r="R186" s="8"/>
      <c r="S186" s="5"/>
    </row>
    <row r="187" spans="1:19" x14ac:dyDescent="0.3">
      <c r="A187" s="5"/>
      <c r="B187" s="5"/>
      <c r="C187" s="5"/>
      <c r="G187" s="8"/>
      <c r="H187" s="5"/>
      <c r="I187" s="5"/>
      <c r="N187" s="5"/>
      <c r="R187" s="8"/>
      <c r="S187" s="5"/>
    </row>
    <row r="188" spans="1:19" x14ac:dyDescent="0.3">
      <c r="A188" s="5"/>
      <c r="B188" s="5"/>
      <c r="C188" s="5"/>
      <c r="G188" s="8"/>
      <c r="H188" s="5"/>
      <c r="I188" s="5"/>
      <c r="N188" s="5"/>
      <c r="R188" s="8"/>
      <c r="S188" s="5"/>
    </row>
    <row r="189" spans="1:19" x14ac:dyDescent="0.3">
      <c r="A189" s="5"/>
      <c r="B189" s="5"/>
      <c r="C189" s="5"/>
      <c r="G189" s="8"/>
      <c r="H189" s="5"/>
      <c r="I189" s="5"/>
      <c r="N189" s="5"/>
      <c r="R189" s="8"/>
      <c r="S189" s="5"/>
    </row>
    <row r="190" spans="1:19" x14ac:dyDescent="0.3">
      <c r="A190" s="5"/>
      <c r="B190" s="5"/>
      <c r="C190" s="5"/>
      <c r="G190" s="8"/>
      <c r="H190" s="5"/>
      <c r="I190" s="5"/>
      <c r="N190" s="5"/>
      <c r="R190" s="8"/>
      <c r="S190" s="5"/>
    </row>
    <row r="191" spans="1:19" x14ac:dyDescent="0.3">
      <c r="A191" s="5"/>
      <c r="B191" s="5"/>
      <c r="C191" s="5"/>
      <c r="G191" s="8"/>
      <c r="H191" s="5"/>
      <c r="I191" s="5"/>
      <c r="N191" s="5"/>
      <c r="R191" s="8"/>
      <c r="S191" s="5"/>
    </row>
    <row r="192" spans="1:19" x14ac:dyDescent="0.3">
      <c r="A192" s="5"/>
      <c r="B192" s="5"/>
      <c r="C192" s="5"/>
      <c r="G192" s="8"/>
      <c r="H192" s="5"/>
      <c r="I192" s="5"/>
      <c r="N192" s="5"/>
      <c r="R192" s="8"/>
      <c r="S192" s="5"/>
    </row>
    <row r="193" spans="1:19" x14ac:dyDescent="0.3">
      <c r="A193" s="5"/>
      <c r="B193" s="5"/>
      <c r="C193" s="5"/>
      <c r="G193" s="8"/>
      <c r="H193" s="5"/>
      <c r="I193" s="5"/>
      <c r="N193" s="5"/>
      <c r="R193" s="8"/>
      <c r="S193" s="5"/>
    </row>
    <row r="194" spans="1:19" x14ac:dyDescent="0.3">
      <c r="A194" s="5"/>
      <c r="B194" s="5"/>
      <c r="C194" s="5"/>
      <c r="G194" s="8"/>
      <c r="H194" s="5"/>
      <c r="I194" s="5"/>
      <c r="N194" s="5"/>
      <c r="R194" s="8"/>
      <c r="S194" s="5"/>
    </row>
    <row r="195" spans="1:19" x14ac:dyDescent="0.3">
      <c r="A195" s="5"/>
      <c r="B195" s="5"/>
      <c r="C195" s="5"/>
      <c r="G195" s="8"/>
      <c r="H195" s="5"/>
      <c r="I195" s="5"/>
      <c r="N195" s="5"/>
      <c r="R195" s="8"/>
      <c r="S195" s="5"/>
    </row>
    <row r="196" spans="1:19" x14ac:dyDescent="0.3">
      <c r="A196" s="5"/>
      <c r="B196" s="5"/>
      <c r="C196" s="5"/>
      <c r="G196" s="8"/>
      <c r="H196" s="5"/>
      <c r="I196" s="5"/>
      <c r="N196" s="5"/>
      <c r="R196" s="8"/>
      <c r="S196" s="5"/>
    </row>
    <row r="197" spans="1:19" x14ac:dyDescent="0.3">
      <c r="A197" s="5"/>
      <c r="B197" s="5"/>
      <c r="C197" s="5"/>
      <c r="G197" s="8"/>
      <c r="H197" s="5"/>
      <c r="I197" s="5"/>
      <c r="N197" s="5"/>
      <c r="R197" s="8"/>
      <c r="S197" s="5"/>
    </row>
    <row r="198" spans="1:19" x14ac:dyDescent="0.3">
      <c r="A198" s="5"/>
      <c r="B198" s="5"/>
      <c r="C198" s="5"/>
      <c r="G198" s="8"/>
      <c r="H198" s="5"/>
      <c r="I198" s="5"/>
      <c r="N198" s="5"/>
      <c r="R198" s="8"/>
      <c r="S198" s="5"/>
    </row>
    <row r="199" spans="1:19" x14ac:dyDescent="0.3">
      <c r="A199" s="5"/>
      <c r="B199" s="5"/>
      <c r="C199" s="5"/>
      <c r="G199" s="8"/>
      <c r="H199" s="5"/>
      <c r="I199" s="5"/>
      <c r="N199" s="5"/>
      <c r="R199" s="8"/>
      <c r="S199" s="5"/>
    </row>
    <row r="200" spans="1:19" x14ac:dyDescent="0.3">
      <c r="A200" s="5"/>
      <c r="B200" s="5"/>
      <c r="C200" s="5"/>
      <c r="G200" s="8"/>
      <c r="H200" s="5"/>
      <c r="I200" s="5"/>
      <c r="N200" s="5"/>
      <c r="R200" s="8"/>
      <c r="S200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F355A8-99C5-4320-AC36-973CF0911E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(s) Will Lord</cp:lastModifiedBy>
  <dcterms:created xsi:type="dcterms:W3CDTF">2015-06-05T18:17:20Z</dcterms:created>
  <dcterms:modified xsi:type="dcterms:W3CDTF">2026-02-25T12:39:53Z</dcterms:modified>
</cp:coreProperties>
</file>